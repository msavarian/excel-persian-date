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0\Desktop\"/>
    </mc:Choice>
  </mc:AlternateContent>
  <xr:revisionPtr revIDLastSave="0" documentId="13_ncr:1_{ACDFCDE5-13DE-4712-B723-95C4F5122870}" xr6:coauthVersionLast="45" xr6:coauthVersionMax="45" xr10:uidLastSave="{00000000-0000-0000-0000-000000000000}"/>
  <bookViews>
    <workbookView xWindow="-120" yWindow="-120" windowWidth="20730" windowHeight="11310" tabRatio="850" xr2:uid="{00000000-000D-0000-FFFF-FFFF00000000}"/>
  </bookViews>
  <sheets>
    <sheet name="Guide Sheet" sheetId="1" r:id="rId1"/>
    <sheet name="Your Data" sheetId="12" r:id="rId2"/>
  </sheets>
  <functionGroups builtInGroupCount="19"/>
  <definedNames>
    <definedName name="_xlnm.Print_Area" localSheetId="0">'Guide Sheet'!$A$1:$D$22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2" i="1" l="1"/>
  <c r="B4" i="1"/>
  <c r="B16" i="1"/>
  <c r="B17" i="1"/>
  <c r="B19" i="1"/>
  <c r="B14" i="1"/>
  <c r="B11" i="1"/>
  <c r="B9" i="1"/>
  <c r="B3" i="1"/>
  <c r="B21" i="1"/>
  <c r="B10" i="1"/>
  <c r="B15" i="1"/>
  <c r="B18" i="1"/>
  <c r="B8" i="1"/>
  <c r="B6" i="1"/>
  <c r="B13" i="1"/>
  <c r="B20" i="1"/>
  <c r="B7" i="1"/>
  <c r="B5" i="1"/>
  <c r="B12" i="1"/>
</calcChain>
</file>

<file path=xl/sharedStrings.xml><?xml version="1.0" encoding="utf-8"?>
<sst xmlns="http://schemas.openxmlformats.org/spreadsheetml/2006/main" count="65" uniqueCount="57">
  <si>
    <t>pFormattingDate(13960520)</t>
  </si>
  <si>
    <t>pGetDayOfDate(13650520)</t>
  </si>
  <si>
    <t>pGetMonthOfDate(13650520)</t>
  </si>
  <si>
    <t>pGetYearMonthOfDate(13650520)</t>
  </si>
  <si>
    <t>pGetYearOfDate(13650520)</t>
  </si>
  <si>
    <t>pIsKabisehYear(1365)</t>
  </si>
  <si>
    <t>pMonthDayCount(1365,5)</t>
  </si>
  <si>
    <t>pMonthName(5)</t>
  </si>
  <si>
    <t>pNextMonth(136505)</t>
  </si>
  <si>
    <t>pPreviousMonth(136505)</t>
  </si>
  <si>
    <t>pSubtractDay(13950520,31)</t>
  </si>
  <si>
    <t>pValidShamsiDate(13650520)</t>
  </si>
  <si>
    <t>pTodayText()</t>
  </si>
  <si>
    <t>pToday()</t>
  </si>
  <si>
    <t>1- تاریخ شمسی اول
2- تاریخ شمسی دوم</t>
  </si>
  <si>
    <t>1- تاریخ شمسی مورد نظر</t>
  </si>
  <si>
    <t xml:space="preserve">1- تاریخ شمسی مورد نظر بدون / </t>
  </si>
  <si>
    <t>1- سال مورد نظر
2- ماه مورد نظر</t>
  </si>
  <si>
    <t>پارامتر ورودی</t>
  </si>
  <si>
    <t>توضیح خروجی تابع</t>
  </si>
  <si>
    <t>نام تابع و نحوه فراخوانی</t>
  </si>
  <si>
    <t>تست تابع</t>
  </si>
  <si>
    <t>1- سال شمسی مورد نظر</t>
  </si>
  <si>
    <t>1- شماره ماه مورد نظر</t>
  </si>
  <si>
    <t>1- سال شمسی مورد نظر
2- شماره ماه مورد نظر</t>
  </si>
  <si>
    <t>1- سال و ماه شمسی مورد نظر</t>
  </si>
  <si>
    <t xml:space="preserve">1- تاریخ شمسی مورد نظر
2- تعداد روز مورد نظر جهت کم کردن از تاریخ فوق </t>
  </si>
  <si>
    <t>1- تاریخ شمسی مورد نظر
2- تعداد روز مورد نظر جهت اضافه کردن به تاریخ فوق</t>
  </si>
  <si>
    <t>ورودی ندارد</t>
  </si>
  <si>
    <t>تاریخ امروز را برمیگرداند</t>
  </si>
  <si>
    <t>تاریخ امروز را به همراه روز هفته برمیگرداند</t>
  </si>
  <si>
    <t>pFirstDayOfMonth(1365,5)</t>
  </si>
  <si>
    <t>pDayOfWeekNo(13650520)</t>
  </si>
  <si>
    <t>pDayOfWeek(13650520)</t>
  </si>
  <si>
    <t>pAddDay(13650520,10926)</t>
  </si>
  <si>
    <t>pDateDiff(13650520,13960420)</t>
  </si>
  <si>
    <t>1- تاریخ اول (تاریخ سر رسید، معمولا تاریخ موجود در سلول اکسل)
2- تاریخ دوم (معمولا تاریخ امروز که با تابع pToday بدست می آید.
3- تعداد روز  باقی مانده مورد نظر جهت یادآوری و پیگری</t>
  </si>
  <si>
    <t>pCheckDueDate(13990520,pToday(),3)</t>
  </si>
  <si>
    <t>نکته مهم، تمام تاریخ ها باید 8 رقمی وارد شوند و بدون استفاده از / یا هر کاراکتر جداکننده ی دیگری باشند
مثال درست 13650520
مثال غلط 1365/05/20</t>
  </si>
  <si>
    <r>
      <rPr>
        <b/>
        <sz val="12"/>
        <color theme="1"/>
        <rFont val="Calibri"/>
        <family val="2"/>
        <scheme val="minor"/>
      </rPr>
      <t>تاریخ جدید</t>
    </r>
    <r>
      <rPr>
        <sz val="12"/>
        <color theme="1"/>
        <rFont val="Calibri"/>
        <family val="2"/>
        <scheme val="minor"/>
      </rPr>
      <t>، بعد از اضافه شدن تعداد روز مورد نظر را برمیگرداند</t>
    </r>
  </si>
  <si>
    <r>
      <rPr>
        <b/>
        <sz val="12"/>
        <color theme="1"/>
        <rFont val="Calibri"/>
        <family val="2"/>
        <scheme val="minor"/>
      </rPr>
      <t>تاریخ جدید</t>
    </r>
    <r>
      <rPr>
        <sz val="12"/>
        <color theme="1"/>
        <rFont val="Calibri"/>
        <family val="2"/>
        <scheme val="minor"/>
      </rPr>
      <t>، بعد از کم شدن تعداد روز مورد نظر را برمیگرداند</t>
    </r>
  </si>
  <si>
    <r>
      <rPr>
        <b/>
        <sz val="12"/>
        <color theme="1"/>
        <rFont val="Calibri"/>
        <family val="2"/>
        <scheme val="minor"/>
      </rPr>
      <t>تعداد روز اختلاف</t>
    </r>
    <r>
      <rPr>
        <sz val="12"/>
        <color theme="1"/>
        <rFont val="Calibri"/>
        <family val="2"/>
        <scheme val="minor"/>
      </rPr>
      <t xml:space="preserve"> بین دو تاریخ ارسال شده به تابع را  برمیگرداند</t>
    </r>
  </si>
  <si>
    <r>
      <rPr>
        <b/>
        <sz val="12"/>
        <color theme="1"/>
        <rFont val="Calibri"/>
        <family val="2"/>
        <scheme val="minor"/>
      </rPr>
      <t>نام روز هفته</t>
    </r>
    <r>
      <rPr>
        <sz val="12"/>
        <color theme="1"/>
        <rFont val="Calibri"/>
        <family val="2"/>
        <scheme val="minor"/>
      </rPr>
      <t xml:space="preserve"> ی تاریخ ارسال شده را برمیگرداند</t>
    </r>
  </si>
  <si>
    <r>
      <rPr>
        <b/>
        <sz val="12"/>
        <color theme="1"/>
        <rFont val="Calibri"/>
        <family val="2"/>
        <scheme val="minor"/>
      </rPr>
      <t>شماره هفته</t>
    </r>
    <r>
      <rPr>
        <sz val="12"/>
        <color theme="1"/>
        <rFont val="Calibri"/>
        <family val="2"/>
        <scheme val="minor"/>
      </rPr>
      <t xml:space="preserve"> ی تاریخ ارسال شده را برمیگرداند</t>
    </r>
  </si>
  <si>
    <r>
      <rPr>
        <b/>
        <sz val="12"/>
        <color theme="1"/>
        <rFont val="Calibri"/>
        <family val="2"/>
        <scheme val="minor"/>
      </rPr>
      <t>شماره اولین روز هفته</t>
    </r>
    <r>
      <rPr>
        <sz val="12"/>
        <color theme="1"/>
        <rFont val="Calibri"/>
        <family val="2"/>
        <scheme val="minor"/>
      </rPr>
      <t xml:space="preserve"> مورد نظر را  در سال مورد نظر برمیگرداند
0= شنبه،   1=شنبه،  2=یکشنبه، ....</t>
    </r>
  </si>
  <si>
    <r>
      <rPr>
        <b/>
        <sz val="12"/>
        <color theme="1"/>
        <rFont val="Calibri"/>
        <family val="2"/>
        <scheme val="minor"/>
      </rPr>
      <t>تاریخ شمسی فرمت شده</t>
    </r>
    <r>
      <rPr>
        <sz val="12"/>
        <color theme="1"/>
        <rFont val="Calibri"/>
        <family val="2"/>
        <scheme val="minor"/>
      </rPr>
      <t xml:space="preserve"> مورد نظر را با / برمیگرداند</t>
    </r>
  </si>
  <si>
    <r>
      <rPr>
        <b/>
        <sz val="12"/>
        <color theme="1"/>
        <rFont val="Calibri"/>
        <family val="2"/>
        <scheme val="minor"/>
      </rPr>
      <t xml:space="preserve">شماره روز از </t>
    </r>
    <r>
      <rPr>
        <sz val="12"/>
        <color theme="1"/>
        <rFont val="Calibri"/>
        <family val="2"/>
        <scheme val="minor"/>
      </rPr>
      <t>تاریخ مورد نظر را برمیگرداند</t>
    </r>
  </si>
  <si>
    <r>
      <rPr>
        <b/>
        <sz val="12"/>
        <color theme="1"/>
        <rFont val="Calibri"/>
        <family val="2"/>
        <scheme val="minor"/>
      </rPr>
      <t xml:space="preserve">شماره ماه از </t>
    </r>
    <r>
      <rPr>
        <sz val="12"/>
        <color theme="1"/>
        <rFont val="Calibri"/>
        <family val="2"/>
        <scheme val="minor"/>
      </rPr>
      <t>تاریخ مورد نظر را برمیگرداند</t>
    </r>
  </si>
  <si>
    <r>
      <rPr>
        <b/>
        <sz val="12"/>
        <color theme="1"/>
        <rFont val="Calibri"/>
        <family val="2"/>
        <scheme val="minor"/>
      </rPr>
      <t xml:space="preserve">ماه و سال از </t>
    </r>
    <r>
      <rPr>
        <sz val="12"/>
        <color theme="1"/>
        <rFont val="Calibri"/>
        <family val="2"/>
        <scheme val="minor"/>
      </rPr>
      <t>تاریخ مورد نظر را برمیگرداند.</t>
    </r>
  </si>
  <si>
    <r>
      <rPr>
        <b/>
        <sz val="12"/>
        <color theme="1"/>
        <rFont val="Calibri"/>
        <family val="2"/>
        <scheme val="minor"/>
      </rPr>
      <t xml:space="preserve">سال از </t>
    </r>
    <r>
      <rPr>
        <sz val="12"/>
        <color theme="1"/>
        <rFont val="Calibri"/>
        <family val="2"/>
        <scheme val="minor"/>
      </rPr>
      <t>تاریخ مورد نظر را برمیگرداند</t>
    </r>
  </si>
  <si>
    <r>
      <t xml:space="preserve">در صورتی که سال </t>
    </r>
    <r>
      <rPr>
        <b/>
        <sz val="12"/>
        <color theme="1"/>
        <rFont val="Calibri"/>
        <family val="2"/>
        <scheme val="minor"/>
      </rPr>
      <t>کبیسه باشد 1</t>
    </r>
    <r>
      <rPr>
        <sz val="12"/>
        <color theme="1"/>
        <rFont val="Calibri"/>
        <family val="2"/>
        <scheme val="minor"/>
      </rPr>
      <t xml:space="preserve"> و اگر </t>
    </r>
    <r>
      <rPr>
        <b/>
        <sz val="12"/>
        <color theme="1"/>
        <rFont val="Calibri"/>
        <family val="2"/>
        <scheme val="minor"/>
      </rPr>
      <t>کبیسه نباشد 0</t>
    </r>
    <r>
      <rPr>
        <sz val="12"/>
        <color theme="1"/>
        <rFont val="Calibri"/>
        <family val="2"/>
        <scheme val="minor"/>
      </rPr>
      <t xml:space="preserve"> را برمیگرداند</t>
    </r>
  </si>
  <si>
    <r>
      <rPr>
        <b/>
        <sz val="12"/>
        <color theme="1"/>
        <rFont val="Calibri"/>
        <family val="2"/>
        <scheme val="minor"/>
      </rPr>
      <t>تعداد روز ماه</t>
    </r>
    <r>
      <rPr>
        <sz val="12"/>
        <color theme="1"/>
        <rFont val="Calibri"/>
        <family val="2"/>
        <scheme val="minor"/>
      </rPr>
      <t xml:space="preserve"> مورد نظر را در سال مورد نظر برمیگرداند.</t>
    </r>
  </si>
  <si>
    <r>
      <rPr>
        <b/>
        <sz val="12"/>
        <color theme="1"/>
        <rFont val="Calibri"/>
        <family val="2"/>
        <scheme val="minor"/>
      </rPr>
      <t>نام ماه</t>
    </r>
    <r>
      <rPr>
        <sz val="12"/>
        <color theme="1"/>
        <rFont val="Calibri"/>
        <family val="2"/>
        <scheme val="minor"/>
      </rPr>
      <t xml:space="preserve"> را برمیگرداند</t>
    </r>
  </si>
  <si>
    <r>
      <rPr>
        <b/>
        <sz val="12"/>
        <color theme="1"/>
        <rFont val="Calibri"/>
        <family val="2"/>
        <scheme val="minor"/>
      </rPr>
      <t>ماه بعد</t>
    </r>
    <r>
      <rPr>
        <sz val="12"/>
        <color theme="1"/>
        <rFont val="Calibri"/>
        <family val="2"/>
        <scheme val="minor"/>
      </rPr>
      <t xml:space="preserve"> را به همراه سال برمیگرداند</t>
    </r>
  </si>
  <si>
    <r>
      <rPr>
        <b/>
        <sz val="12"/>
        <color theme="1"/>
        <rFont val="Calibri"/>
        <family val="2"/>
        <scheme val="minor"/>
      </rPr>
      <t>ماه قبل</t>
    </r>
    <r>
      <rPr>
        <sz val="12"/>
        <color theme="1"/>
        <rFont val="Calibri"/>
        <family val="2"/>
        <scheme val="minor"/>
      </rPr>
      <t xml:space="preserve"> را به همراه سال برمیگرداند</t>
    </r>
  </si>
  <si>
    <r>
      <t xml:space="preserve">در صورتی که تاریخ </t>
    </r>
    <r>
      <rPr>
        <b/>
        <sz val="12"/>
        <color theme="1"/>
        <rFont val="Calibri"/>
        <family val="2"/>
        <scheme val="minor"/>
      </rPr>
      <t>معتبر باشد TRUE</t>
    </r>
    <r>
      <rPr>
        <sz val="12"/>
        <color theme="1"/>
        <rFont val="Calibri"/>
        <family val="2"/>
        <scheme val="minor"/>
      </rPr>
      <t xml:space="preserve"> و اگر </t>
    </r>
    <r>
      <rPr>
        <b/>
        <sz val="12"/>
        <color theme="1"/>
        <rFont val="Calibri"/>
        <family val="2"/>
        <scheme val="minor"/>
      </rPr>
      <t>نامعتبر باشد FALSE</t>
    </r>
    <r>
      <rPr>
        <sz val="12"/>
        <color theme="1"/>
        <rFont val="Calibri"/>
        <family val="2"/>
        <scheme val="minor"/>
      </rPr>
      <t xml:space="preserve"> را برمیگرداند</t>
    </r>
  </si>
  <si>
    <r>
      <t xml:space="preserve">در حالت های مختلف، اختلاف بین دو </t>
    </r>
    <r>
      <rPr>
        <b/>
        <sz val="12"/>
        <color theme="1"/>
        <rFont val="Calibri"/>
        <family val="2"/>
        <scheme val="minor"/>
      </rPr>
      <t>تاریخ دوم (امروز) + تعداد روز باقی مانده و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 xml:space="preserve">تاریخ اول (سررسید) </t>
    </r>
    <r>
      <rPr>
        <sz val="12"/>
        <color theme="1"/>
        <rFont val="Calibri"/>
        <family val="2"/>
        <scheme val="minor"/>
      </rPr>
      <t>پیام های مرتبطی با رنگ های مرتبط نمایش می دهد.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</si>
</sst>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57"/>
      <name val="Calibri"/>
      <family val="2"/>
      <scheme val="minor"/>
    </font>
    <font>
      <b/>
      <sz val="14"/>
      <color rgb="FF9C000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 wrapText="1" indent="4" readingOrder="2"/>
    </xf>
    <xf numFmtId="0" fontId="0" fillId="0" borderId="0" xfId="0" applyAlignment="1">
      <alignment horizontal="right" vertical="center" wrapText="1" indent="3" readingOrder="2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 wrapText="1" indent="4" readingOrder="2"/>
    </xf>
    <xf numFmtId="0" fontId="3" fillId="0" borderId="0" xfId="0" applyFont="1" applyAlignment="1">
      <alignment horizontal="right" vertical="center" wrapText="1" indent="3" readingOrder="2"/>
    </xf>
    <xf numFmtId="0" fontId="5" fillId="0" borderId="0" xfId="0" applyFont="1" applyAlignment="1">
      <alignment horizontal="center" vertical="center"/>
    </xf>
    <xf numFmtId="0" fontId="6" fillId="2" borderId="0" xfId="1" applyFont="1" applyAlignment="1">
      <alignment horizontal="center" vertical="center" wrapText="1"/>
    </xf>
  </cellXfs>
  <cellStyles count="2">
    <cellStyle name="Bad" xfId="1" builtinId="27"/>
    <cellStyle name="Normal" xfId="0" builtinId="0"/>
  </cellStyles>
  <dxfs count="6"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right" vertical="center" textRotation="0" wrapText="1" indent="3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right" vertical="center" textRotation="0" wrapText="1" indent="4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D22" totalsRowShown="0" headerRowDxfId="5" dataDxfId="4">
  <autoFilter ref="A2:D22" xr:uid="{00000000-0009-0000-0100-000002000000}"/>
  <tableColumns count="4">
    <tableColumn id="1" xr3:uid="{00000000-0010-0000-0100-000001000000}" name="نام تابع و نحوه فراخوانی" dataDxfId="3"/>
    <tableColumn id="2" xr3:uid="{00000000-0010-0000-0100-000002000000}" name="تست تابع" dataDxfId="2">
      <calculatedColumnFormula>pDateDiff(13950101,13950301)</calculatedColumnFormula>
    </tableColumn>
    <tableColumn id="4" xr3:uid="{00000000-0010-0000-0100-000004000000}" name="پارامتر ورودی" dataDxfId="1"/>
    <tableColumn id="3" xr3:uid="{00000000-0010-0000-0100-000003000000}" name="توضیح خروجی تابع" dataDxfId="0">
      <calculatedColumnFormula>pDateDiff(13950101,13950301)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fitToPage="1"/>
  </sheetPr>
  <dimension ref="A1:E32"/>
  <sheetViews>
    <sheetView tabSelected="1" zoomScale="80" zoomScaleNormal="80" workbookViewId="0">
      <selection activeCell="E21" sqref="E21"/>
    </sheetView>
  </sheetViews>
  <sheetFormatPr defaultRowHeight="15" x14ac:dyDescent="0.25"/>
  <cols>
    <col min="1" max="1" width="39.140625" style="2" bestFit="1" customWidth="1"/>
    <col min="2" max="2" width="40.42578125" style="2" bestFit="1" customWidth="1"/>
    <col min="3" max="3" width="60.28515625" style="3" bestFit="1" customWidth="1"/>
    <col min="4" max="4" width="65.7109375" style="4" customWidth="1"/>
    <col min="5" max="5" width="26.42578125" customWidth="1"/>
  </cols>
  <sheetData>
    <row r="1" spans="1:5" ht="81.75" customHeight="1" x14ac:dyDescent="0.25">
      <c r="A1" s="10" t="s">
        <v>38</v>
      </c>
      <c r="B1" s="10"/>
      <c r="C1" s="10"/>
      <c r="D1" s="10"/>
    </row>
    <row r="2" spans="1:5" ht="20.25" customHeight="1" x14ac:dyDescent="0.25">
      <c r="A2" s="2" t="s">
        <v>20</v>
      </c>
      <c r="B2" s="2" t="s">
        <v>21</v>
      </c>
      <c r="C2" s="3" t="s">
        <v>18</v>
      </c>
      <c r="D2" s="4" t="s">
        <v>19</v>
      </c>
    </row>
    <row r="3" spans="1:5" ht="42" customHeight="1" x14ac:dyDescent="0.25">
      <c r="A3" s="6" t="s">
        <v>13</v>
      </c>
      <c r="B3" s="6">
        <f>pToday()</f>
        <v>13981028</v>
      </c>
      <c r="C3" s="7" t="s">
        <v>28</v>
      </c>
      <c r="D3" s="8" t="s">
        <v>29</v>
      </c>
    </row>
    <row r="4" spans="1:5" ht="42" customHeight="1" x14ac:dyDescent="0.25">
      <c r="A4" s="6" t="s">
        <v>12</v>
      </c>
      <c r="B4" s="6" t="str">
        <f>pTodayText()</f>
        <v>شنبه1398/10/28</v>
      </c>
      <c r="C4" s="7" t="s">
        <v>28</v>
      </c>
      <c r="D4" s="8" t="s">
        <v>30</v>
      </c>
    </row>
    <row r="5" spans="1:5" ht="42" customHeight="1" x14ac:dyDescent="0.25">
      <c r="A5" s="6" t="s">
        <v>34</v>
      </c>
      <c r="B5" s="6">
        <f>pAddDay(13650520,11292)</f>
        <v>13960420</v>
      </c>
      <c r="C5" s="7" t="s">
        <v>27</v>
      </c>
      <c r="D5" s="8" t="s">
        <v>39</v>
      </c>
    </row>
    <row r="6" spans="1:5" ht="42" customHeight="1" x14ac:dyDescent="0.25">
      <c r="A6" s="6" t="s">
        <v>10</v>
      </c>
      <c r="B6" s="6">
        <f>pSubtractDay(13950520,31)</f>
        <v>13950420</v>
      </c>
      <c r="C6" s="7" t="s">
        <v>26</v>
      </c>
      <c r="D6" s="8" t="s">
        <v>40</v>
      </c>
    </row>
    <row r="7" spans="1:5" ht="42" customHeight="1" x14ac:dyDescent="0.25">
      <c r="A7" s="6" t="s">
        <v>35</v>
      </c>
      <c r="B7" s="6">
        <f>pDateDiff(13650520,13960420)</f>
        <v>11292</v>
      </c>
      <c r="C7" s="7" t="s">
        <v>14</v>
      </c>
      <c r="D7" s="8" t="s">
        <v>41</v>
      </c>
    </row>
    <row r="8" spans="1:5" ht="42" customHeight="1" x14ac:dyDescent="0.25">
      <c r="A8" s="6" t="s">
        <v>33</v>
      </c>
      <c r="B8" s="6" t="str">
        <f>pDayOfWeek(13650520)</f>
        <v>چهار شنبه</v>
      </c>
      <c r="C8" s="7" t="s">
        <v>15</v>
      </c>
      <c r="D8" s="8" t="s">
        <v>42</v>
      </c>
      <c r="E8" s="1"/>
    </row>
    <row r="9" spans="1:5" ht="42" customHeight="1" x14ac:dyDescent="0.25">
      <c r="A9" s="6" t="s">
        <v>32</v>
      </c>
      <c r="B9" s="6" t="str">
        <f>pDayOfWeekNo(13650520)</f>
        <v>4</v>
      </c>
      <c r="C9" s="7" t="s">
        <v>15</v>
      </c>
      <c r="D9" s="8" t="s">
        <v>43</v>
      </c>
    </row>
    <row r="10" spans="1:5" ht="42" customHeight="1" x14ac:dyDescent="0.25">
      <c r="A10" s="6" t="s">
        <v>31</v>
      </c>
      <c r="B10" s="6">
        <f>pFirstDayOfMonth(1365,5)</f>
        <v>2</v>
      </c>
      <c r="C10" s="7" t="s">
        <v>17</v>
      </c>
      <c r="D10" s="8" t="s">
        <v>44</v>
      </c>
    </row>
    <row r="11" spans="1:5" ht="42" customHeight="1" x14ac:dyDescent="0.25">
      <c r="A11" s="6" t="s">
        <v>0</v>
      </c>
      <c r="B11" s="6" t="str">
        <f>pFormattingDate(13960520)</f>
        <v>1396/05/20</v>
      </c>
      <c r="C11" s="7" t="s">
        <v>16</v>
      </c>
      <c r="D11" s="8" t="s">
        <v>45</v>
      </c>
    </row>
    <row r="12" spans="1:5" ht="42" customHeight="1" x14ac:dyDescent="0.25">
      <c r="A12" s="6" t="s">
        <v>1</v>
      </c>
      <c r="B12" s="6">
        <f>pGetDayOfDate(13650520)</f>
        <v>20</v>
      </c>
      <c r="C12" s="7" t="s">
        <v>15</v>
      </c>
      <c r="D12" s="8" t="s">
        <v>46</v>
      </c>
    </row>
    <row r="13" spans="1:5" ht="42" customHeight="1" x14ac:dyDescent="0.25">
      <c r="A13" s="6" t="s">
        <v>2</v>
      </c>
      <c r="B13" s="6">
        <f>pGetMonthOfDate(13650520)</f>
        <v>5</v>
      </c>
      <c r="C13" s="7" t="s">
        <v>15</v>
      </c>
      <c r="D13" s="8" t="s">
        <v>47</v>
      </c>
    </row>
    <row r="14" spans="1:5" ht="42" customHeight="1" x14ac:dyDescent="0.25">
      <c r="A14" s="6" t="s">
        <v>3</v>
      </c>
      <c r="B14" s="6">
        <f>pGetYearMonthOfDate(13650520)</f>
        <v>136505</v>
      </c>
      <c r="C14" s="7" t="s">
        <v>15</v>
      </c>
      <c r="D14" s="8" t="s">
        <v>48</v>
      </c>
    </row>
    <row r="15" spans="1:5" ht="42" customHeight="1" x14ac:dyDescent="0.25">
      <c r="A15" s="6" t="s">
        <v>4</v>
      </c>
      <c r="B15" s="6">
        <f>pGetYearOfDate(13650520)</f>
        <v>1365</v>
      </c>
      <c r="C15" s="7" t="s">
        <v>15</v>
      </c>
      <c r="D15" s="8" t="s">
        <v>49</v>
      </c>
    </row>
    <row r="16" spans="1:5" ht="42" customHeight="1" x14ac:dyDescent="0.25">
      <c r="A16" s="6" t="s">
        <v>5</v>
      </c>
      <c r="B16" s="6">
        <f>pIsKabisehYear(1365)</f>
        <v>0</v>
      </c>
      <c r="C16" s="7" t="s">
        <v>22</v>
      </c>
      <c r="D16" s="8" t="s">
        <v>50</v>
      </c>
    </row>
    <row r="17" spans="1:4" ht="42" customHeight="1" x14ac:dyDescent="0.25">
      <c r="A17" s="6" t="s">
        <v>6</v>
      </c>
      <c r="B17" s="6">
        <f>pMonthDayCount(1365,5)</f>
        <v>31</v>
      </c>
      <c r="C17" s="7" t="s">
        <v>24</v>
      </c>
      <c r="D17" s="8" t="s">
        <v>51</v>
      </c>
    </row>
    <row r="18" spans="1:4" ht="42" customHeight="1" x14ac:dyDescent="0.25">
      <c r="A18" s="6" t="s">
        <v>7</v>
      </c>
      <c r="B18" s="6" t="str">
        <f>pMonthName(5)</f>
        <v>مرداد</v>
      </c>
      <c r="C18" s="7" t="s">
        <v>23</v>
      </c>
      <c r="D18" s="8" t="s">
        <v>52</v>
      </c>
    </row>
    <row r="19" spans="1:4" ht="42" customHeight="1" x14ac:dyDescent="0.25">
      <c r="A19" s="6" t="s">
        <v>8</v>
      </c>
      <c r="B19" s="6">
        <f>pNextMonth(136505)</f>
        <v>136506</v>
      </c>
      <c r="C19" s="7" t="s">
        <v>25</v>
      </c>
      <c r="D19" s="8" t="s">
        <v>53</v>
      </c>
    </row>
    <row r="20" spans="1:4" ht="42" customHeight="1" x14ac:dyDescent="0.25">
      <c r="A20" s="6" t="s">
        <v>9</v>
      </c>
      <c r="B20" s="6">
        <f>pPreviousMonth(136505)</f>
        <v>136504</v>
      </c>
      <c r="C20" s="7" t="s">
        <v>25</v>
      </c>
      <c r="D20" s="8" t="s">
        <v>54</v>
      </c>
    </row>
    <row r="21" spans="1:4" ht="42" customHeight="1" x14ac:dyDescent="0.25">
      <c r="A21" s="6" t="s">
        <v>11</v>
      </c>
      <c r="B21" s="6" t="b">
        <f>pValidShamsiDate(13650520)</f>
        <v>1</v>
      </c>
      <c r="C21" s="7" t="s">
        <v>15</v>
      </c>
      <c r="D21" s="8" t="s">
        <v>55</v>
      </c>
    </row>
    <row r="22" spans="1:4" ht="71.25" customHeight="1" x14ac:dyDescent="0.25">
      <c r="A22" s="6" t="s">
        <v>37</v>
      </c>
      <c r="B22" s="9" t="str">
        <f>pCheckDueDate(13990520,pToday(),3)</f>
        <v>شرایط عادی - 205 روز تا سررسید باقی مانده است</v>
      </c>
      <c r="C22" s="7" t="s">
        <v>36</v>
      </c>
      <c r="D22" s="8" t="s">
        <v>56</v>
      </c>
    </row>
    <row r="32" spans="1:4" x14ac:dyDescent="0.25">
      <c r="B32" s="5"/>
    </row>
  </sheetData>
  <mergeCells count="1">
    <mergeCell ref="A1:D1"/>
  </mergeCells>
  <pageMargins left="0.7" right="0.7" top="0.75" bottom="0.75" header="0.3" footer="0.3"/>
  <pageSetup paperSize="9" scale="51" orientation="landscape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F94F4-D09B-490C-A3D6-1F8EF6FBDCF2}">
  <sheetPr codeName="Sheet12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Guide Sheet</vt:lpstr>
      <vt:lpstr>Your Data</vt:lpstr>
      <vt:lpstr>'Guide Sheet'!Print_Area</vt:lpstr>
    </vt:vector>
  </TitlesOfParts>
  <Company>Mahmoud Savarian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توابع تاریخ شمسی</dc:title>
  <dc:subject/>
  <dc:creator>Mahmoud Savarian</dc:creator>
  <dc:description>sav68.net@gmail.com</dc:description>
  <cp:lastModifiedBy>admin0</cp:lastModifiedBy>
  <cp:lastPrinted>2020-01-17T21:08:21Z</cp:lastPrinted>
  <dcterms:created xsi:type="dcterms:W3CDTF">2017-07-11T05:39:51Z</dcterms:created>
  <dcterms:modified xsi:type="dcterms:W3CDTF">2020-01-17T21:08:29Z</dcterms:modified>
</cp:coreProperties>
</file>